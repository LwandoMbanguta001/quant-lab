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wando.mbanguta.psc\Downloads\"/>
    </mc:Choice>
  </mc:AlternateContent>
  <xr:revisionPtr revIDLastSave="0" documentId="8_{AD4D341A-3B0C-4309-8F24-E3613F0CE52A}" xr6:coauthVersionLast="47" xr6:coauthVersionMax="47" xr10:uidLastSave="{00000000-0000-0000-0000-000000000000}"/>
  <bookViews>
    <workbookView xWindow="28680" yWindow="-105" windowWidth="29040" windowHeight="15720" xr2:uid="{297F88AA-B38F-456C-ABCA-E9D0EBF151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2" i="1"/>
</calcChain>
</file>

<file path=xl/sharedStrings.xml><?xml version="1.0" encoding="utf-8"?>
<sst xmlns="http://schemas.openxmlformats.org/spreadsheetml/2006/main" count="94" uniqueCount="94">
  <si>
    <t>date</t>
  </si>
  <si>
    <t>sec_code</t>
  </si>
  <si>
    <t>constituent_name</t>
  </si>
  <si>
    <t>constituent_price</t>
  </si>
  <si>
    <t>shares_issued</t>
  </si>
  <si>
    <t>gross_mkt_cap</t>
  </si>
  <si>
    <t>investibility_factor</t>
  </si>
  <si>
    <t>net_mkt_cap</t>
  </si>
  <si>
    <t>weight_alsi</t>
  </si>
  <si>
    <t>div_yield</t>
  </si>
  <si>
    <t>ABG</t>
  </si>
  <si>
    <t>Absa Group Limited</t>
  </si>
  <si>
    <t>AGL</t>
  </si>
  <si>
    <t>Anglo American</t>
  </si>
  <si>
    <t>ANG</t>
  </si>
  <si>
    <t>AngloGold Ashanti Plc</t>
  </si>
  <si>
    <t>ANH</t>
  </si>
  <si>
    <t>Anheuser-Busch InBev</t>
  </si>
  <si>
    <t>APN</t>
  </si>
  <si>
    <t>Aspen Pharmacare Holdings</t>
  </si>
  <si>
    <t>BHG</t>
  </si>
  <si>
    <t>BHP Group Ltd</t>
  </si>
  <si>
    <t>BID</t>
  </si>
  <si>
    <t>BidCorp Ltd</t>
  </si>
  <si>
    <t>BTI</t>
  </si>
  <si>
    <t>British American Tobacco PLC</t>
  </si>
  <si>
    <t>BVT</t>
  </si>
  <si>
    <t>Bidvest Group</t>
  </si>
  <si>
    <t>CFR</t>
  </si>
  <si>
    <t>Compagnie Financiere Richemont AG</t>
  </si>
  <si>
    <t>CLS</t>
  </si>
  <si>
    <t>Clicks Group Ltd</t>
  </si>
  <si>
    <t>CPI</t>
  </si>
  <si>
    <t>Capitec Bank Hldgs Ltd</t>
  </si>
  <si>
    <t>DSY</t>
  </si>
  <si>
    <t>Discovery Ltd</t>
  </si>
  <si>
    <t>FSR</t>
  </si>
  <si>
    <t>Firstrand Limited</t>
  </si>
  <si>
    <t>GFI</t>
  </si>
  <si>
    <t>Gold Fields</t>
  </si>
  <si>
    <t>GRT</t>
  </si>
  <si>
    <t>Growthpoint Prop Ltd</t>
  </si>
  <si>
    <t>HAR</t>
  </si>
  <si>
    <t>Harmony</t>
  </si>
  <si>
    <t>IMP</t>
  </si>
  <si>
    <t>Impala Platinum Hlds</t>
  </si>
  <si>
    <t>INL</t>
  </si>
  <si>
    <t>Investec Ltd</t>
  </si>
  <si>
    <t>INP</t>
  </si>
  <si>
    <t>Investec PLC</t>
  </si>
  <si>
    <t>MNP</t>
  </si>
  <si>
    <t>Mondi Plc</t>
  </si>
  <si>
    <t>MRP</t>
  </si>
  <si>
    <t>Mr Price Group</t>
  </si>
  <si>
    <t>MTN</t>
  </si>
  <si>
    <t>MTN Group</t>
  </si>
  <si>
    <t>NED</t>
  </si>
  <si>
    <t>Nedbank Group</t>
  </si>
  <si>
    <t>NPH</t>
  </si>
  <si>
    <t>Northam Platinum Holdings</t>
  </si>
  <si>
    <t>NPN</t>
  </si>
  <si>
    <t>Naspers</t>
  </si>
  <si>
    <t>NRP</t>
  </si>
  <si>
    <t>NEPI Rockcastle N.V.</t>
  </si>
  <si>
    <t>OMU</t>
  </si>
  <si>
    <t>Old Mutual Ltd</t>
  </si>
  <si>
    <t>OUT</t>
  </si>
  <si>
    <t>OUTsurance Group Limited</t>
  </si>
  <si>
    <t>PPH</t>
  </si>
  <si>
    <t>Pepkor Holdings Ltd</t>
  </si>
  <si>
    <t>PRX</t>
  </si>
  <si>
    <t>Prosus</t>
  </si>
  <si>
    <t>REM</t>
  </si>
  <si>
    <t>Remgro</t>
  </si>
  <si>
    <t>RNI</t>
  </si>
  <si>
    <t>Reinet Investments</t>
  </si>
  <si>
    <t>SBK</t>
  </si>
  <si>
    <t>Standard Bank Group</t>
  </si>
  <si>
    <t>SHP</t>
  </si>
  <si>
    <t>Shoprite</t>
  </si>
  <si>
    <t>SLM</t>
  </si>
  <si>
    <t>Sanlam</t>
  </si>
  <si>
    <t>SOL</t>
  </si>
  <si>
    <t>Sasol</t>
  </si>
  <si>
    <t>SSW</t>
  </si>
  <si>
    <t>Sibanye Stillwater</t>
  </si>
  <si>
    <t>VAL</t>
  </si>
  <si>
    <t>Valterra Platinum Ltd</t>
  </si>
  <si>
    <t>VOD</t>
  </si>
  <si>
    <t>Vodacom Group</t>
  </si>
  <si>
    <t>WHL</t>
  </si>
  <si>
    <t>Woolworths Holdings</t>
  </si>
  <si>
    <t>IMC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</si>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</sst>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C44A4-633E-4541-8072-9557985E6AEB}">
  <dimension ref="A1:M43"/>
  <sheetViews>
    <sheetView tabSelected="1" workbookViewId="0">
      <selection activeCell="F17" sqref="F17"/>
    </sheetView>
  </sheetViews>
  <sheetFormatPr defaultRowHeight="15" x14ac:dyDescent="0.25"/>
  <cols>
    <col min="1" max="1" width="9.85546875" bestFit="1" customWidth="1"/>
    <col min="3" max="3" width="34.28515625" bestFit="1" customWidth="1"/>
    <col min="4" max="4" width="16.28515625" bestFit="1" customWidth="1"/>
    <col min="5" max="5" width="13.85546875" bestFit="1" customWidth="1"/>
    <col min="6" max="6" width="14.28515625" bestFit="1" customWidth="1"/>
    <col min="7" max="7" width="17.28515625" bestFit="1" customWidth="1"/>
    <col min="8" max="8" width="12" bestFit="1" customWidth="1"/>
    <col min="9" max="9" width="10.85546875" bestFit="1" customWidth="1"/>
    <col min="10" max="10" width="8.5703125" bestFit="1" customWidth="1"/>
    <col min="11" max="11" width="12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92</v>
      </c>
      <c r="L1" t="s">
        <v>93</v>
      </c>
    </row>
    <row r="2" spans="1:12" x14ac:dyDescent="0.25">
      <c r="A2" s="1">
        <v>45919</v>
      </c>
      <c r="B2" t="s">
        <v>10</v>
      </c>
      <c r="C2" t="s">
        <v>11</v>
      </c>
      <c r="D2">
        <v>183920000</v>
      </c>
      <c r="E2">
        <v>894376907</v>
      </c>
      <c r="F2">
        <v>164493800735</v>
      </c>
      <c r="G2">
        <v>92.556299999999993</v>
      </c>
      <c r="H2">
        <v>152249375690</v>
      </c>
      <c r="I2">
        <v>1.9085259999999999</v>
      </c>
      <c r="J2">
        <v>8.48</v>
      </c>
      <c r="K2">
        <f>D2*E2*G2/100</f>
        <v>1.5224937569009603E+17</v>
      </c>
      <c r="L2" s="2">
        <f>K2/SUM($K$2:$K$42)</f>
        <v>2.2170961554127913E-2</v>
      </c>
    </row>
    <row r="3" spans="1:12" x14ac:dyDescent="0.25">
      <c r="A3" s="1">
        <v>45919</v>
      </c>
      <c r="B3" t="s">
        <v>12</v>
      </c>
      <c r="C3" t="s">
        <v>13</v>
      </c>
      <c r="D3">
        <v>595000000</v>
      </c>
      <c r="E3">
        <v>1178050272</v>
      </c>
      <c r="F3">
        <v>700939911840</v>
      </c>
      <c r="G3">
        <v>27.435700000000001</v>
      </c>
      <c r="H3">
        <v>192307771393</v>
      </c>
      <c r="I3">
        <v>2.4106779999999999</v>
      </c>
      <c r="J3">
        <v>0.89</v>
      </c>
      <c r="K3">
        <f t="shared" ref="K3:K42" si="0">D3*E3*G3/100</f>
        <v>1.9230777139268691E+17</v>
      </c>
      <c r="L3" s="2">
        <f t="shared" ref="L3:L42" si="1">K3/SUM($K$2:$K$42)</f>
        <v>2.8004372344921449E-2</v>
      </c>
    </row>
    <row r="4" spans="1:12" x14ac:dyDescent="0.25">
      <c r="A4" s="1">
        <v>45919</v>
      </c>
      <c r="B4" t="s">
        <v>14</v>
      </c>
      <c r="C4" t="s">
        <v>15</v>
      </c>
      <c r="D4">
        <v>1149000000</v>
      </c>
      <c r="E4">
        <v>504087287</v>
      </c>
      <c r="F4">
        <v>579196292763</v>
      </c>
      <c r="G4">
        <v>70.183199999999999</v>
      </c>
      <c r="H4">
        <v>406498492542</v>
      </c>
      <c r="I4">
        <v>5.0956710000000003</v>
      </c>
      <c r="J4">
        <v>2.5099999999999998</v>
      </c>
      <c r="K4">
        <f t="shared" si="0"/>
        <v>4.0649849254244186E+17</v>
      </c>
      <c r="L4" s="2">
        <f t="shared" si="1"/>
        <v>5.9195398398968278E-2</v>
      </c>
    </row>
    <row r="5" spans="1:12" x14ac:dyDescent="0.25">
      <c r="A5" s="1">
        <v>45919</v>
      </c>
      <c r="B5" t="s">
        <v>16</v>
      </c>
      <c r="C5" t="s">
        <v>17</v>
      </c>
      <c r="D5">
        <v>1031560000</v>
      </c>
      <c r="E5">
        <v>1797199687</v>
      </c>
      <c r="F5">
        <v>1853919309122</v>
      </c>
      <c r="G5">
        <v>5.1384999999999996</v>
      </c>
      <c r="H5">
        <v>95263643699</v>
      </c>
      <c r="I5">
        <v>1.19418</v>
      </c>
      <c r="J5">
        <v>1.44</v>
      </c>
      <c r="K5">
        <f t="shared" si="0"/>
        <v>9.5263643699219584E+16</v>
      </c>
      <c r="L5" s="2">
        <f t="shared" si="1"/>
        <v>1.387254675027827E-2</v>
      </c>
    </row>
    <row r="6" spans="1:12" x14ac:dyDescent="0.25">
      <c r="A6" s="1">
        <v>45919</v>
      </c>
      <c r="B6" t="s">
        <v>18</v>
      </c>
      <c r="C6" t="s">
        <v>19</v>
      </c>
      <c r="D6">
        <v>101870000</v>
      </c>
      <c r="E6">
        <v>446252332</v>
      </c>
      <c r="F6">
        <v>45459725061</v>
      </c>
      <c r="G6">
        <v>86.649900000000002</v>
      </c>
      <c r="H6">
        <v>39390806305</v>
      </c>
      <c r="I6">
        <v>0.493784</v>
      </c>
      <c r="J6">
        <v>3.52</v>
      </c>
      <c r="K6">
        <f t="shared" si="0"/>
        <v>3.93908063054928E+16</v>
      </c>
      <c r="L6" s="2">
        <f t="shared" si="1"/>
        <v>5.7361946361136461E-3</v>
      </c>
    </row>
    <row r="7" spans="1:12" x14ac:dyDescent="0.25">
      <c r="A7" s="1">
        <v>45919</v>
      </c>
      <c r="B7" t="s">
        <v>20</v>
      </c>
      <c r="C7" t="s">
        <v>21</v>
      </c>
      <c r="D7">
        <v>450500000</v>
      </c>
      <c r="E7">
        <v>5075992235</v>
      </c>
      <c r="F7">
        <v>2286734501868</v>
      </c>
      <c r="G7">
        <v>3.1293000000000002</v>
      </c>
      <c r="H7">
        <v>71558782767</v>
      </c>
      <c r="I7">
        <v>0.89702700000000002</v>
      </c>
      <c r="J7">
        <v>4.3899999999999997</v>
      </c>
      <c r="K7">
        <f t="shared" si="0"/>
        <v>7.155878276693968E+16</v>
      </c>
      <c r="L7" s="2">
        <f t="shared" si="1"/>
        <v>1.0420581459824113E-2</v>
      </c>
    </row>
    <row r="8" spans="1:12" x14ac:dyDescent="0.25">
      <c r="A8" s="1">
        <v>45919</v>
      </c>
      <c r="B8" t="s">
        <v>22</v>
      </c>
      <c r="C8" t="s">
        <v>23</v>
      </c>
      <c r="D8">
        <v>448510000</v>
      </c>
      <c r="E8">
        <v>336904212</v>
      </c>
      <c r="F8">
        <v>151104908124</v>
      </c>
      <c r="G8">
        <v>99.524799999999999</v>
      </c>
      <c r="H8">
        <v>150386857601</v>
      </c>
      <c r="I8">
        <v>1.885178</v>
      </c>
      <c r="J8">
        <v>2.5099999999999998</v>
      </c>
      <c r="K8">
        <f t="shared" si="0"/>
        <v>1.5038685760071418E+17</v>
      </c>
      <c r="L8" s="2">
        <f t="shared" si="1"/>
        <v>2.1899736685281116E-2</v>
      </c>
    </row>
    <row r="9" spans="1:12" x14ac:dyDescent="0.25">
      <c r="A9" s="1">
        <v>45919</v>
      </c>
      <c r="B9" t="s">
        <v>24</v>
      </c>
      <c r="C9" t="s">
        <v>25</v>
      </c>
      <c r="D9">
        <v>944330000</v>
      </c>
      <c r="E9">
        <v>2342825304</v>
      </c>
      <c r="F9">
        <v>2212400219326</v>
      </c>
      <c r="G9">
        <v>8.8010999999999999</v>
      </c>
      <c r="H9">
        <v>194715555703</v>
      </c>
      <c r="I9">
        <v>2.4408609999999999</v>
      </c>
      <c r="J9">
        <v>5.94</v>
      </c>
      <c r="K9">
        <f t="shared" si="0"/>
        <v>1.9471555570312877E+17</v>
      </c>
      <c r="L9" s="2">
        <f t="shared" si="1"/>
        <v>2.8355000340179043E-2</v>
      </c>
    </row>
    <row r="10" spans="1:12" x14ac:dyDescent="0.25">
      <c r="A10" s="1">
        <v>45919</v>
      </c>
      <c r="B10" t="s">
        <v>26</v>
      </c>
      <c r="C10" t="s">
        <v>27</v>
      </c>
      <c r="D10">
        <v>220060000</v>
      </c>
      <c r="E10">
        <v>340274346</v>
      </c>
      <c r="F10">
        <v>74880772581</v>
      </c>
      <c r="G10">
        <v>99.716099999999997</v>
      </c>
      <c r="H10">
        <v>74668186067</v>
      </c>
      <c r="I10">
        <v>0.93600499999999998</v>
      </c>
      <c r="J10">
        <v>4.17</v>
      </c>
      <c r="K10">
        <f t="shared" si="0"/>
        <v>7.4668186067403216E+16</v>
      </c>
      <c r="L10" s="2">
        <f t="shared" si="1"/>
        <v>1.0873381090156784E-2</v>
      </c>
    </row>
    <row r="11" spans="1:12" x14ac:dyDescent="0.25">
      <c r="A11" s="1">
        <v>45919</v>
      </c>
      <c r="B11" t="s">
        <v>28</v>
      </c>
      <c r="C11" t="s">
        <v>29</v>
      </c>
      <c r="D11">
        <v>3258080000</v>
      </c>
      <c r="E11">
        <v>537582089</v>
      </c>
      <c r="F11">
        <v>1751485452529</v>
      </c>
      <c r="G11">
        <v>8.8917999999999999</v>
      </c>
      <c r="H11">
        <v>155738583468</v>
      </c>
      <c r="I11">
        <v>1.9522649999999999</v>
      </c>
      <c r="J11">
        <v>1.31</v>
      </c>
      <c r="K11">
        <f t="shared" si="0"/>
        <v>1.5573858346798429E+17</v>
      </c>
      <c r="L11" s="2">
        <f t="shared" si="1"/>
        <v>2.2679069328936718E-2</v>
      </c>
    </row>
    <row r="12" spans="1:12" x14ac:dyDescent="0.25">
      <c r="A12" s="1">
        <v>45919</v>
      </c>
      <c r="B12" t="s">
        <v>30</v>
      </c>
      <c r="C12" t="s">
        <v>31</v>
      </c>
      <c r="D12">
        <v>364170000</v>
      </c>
      <c r="E12">
        <v>236938881</v>
      </c>
      <c r="F12">
        <v>86286032294</v>
      </c>
      <c r="G12">
        <v>99.911199999999994</v>
      </c>
      <c r="H12">
        <v>86209410297</v>
      </c>
      <c r="I12">
        <v>1.0806800000000001</v>
      </c>
      <c r="J12">
        <v>2.21</v>
      </c>
      <c r="K12">
        <f t="shared" si="0"/>
        <v>8.6209410297093136E+16</v>
      </c>
      <c r="L12" s="2">
        <f t="shared" si="1"/>
        <v>1.2554045050348446E-2</v>
      </c>
    </row>
    <row r="13" spans="1:12" x14ac:dyDescent="0.25">
      <c r="A13" s="1">
        <v>45919</v>
      </c>
      <c r="B13" t="s">
        <v>32</v>
      </c>
      <c r="C13" t="s">
        <v>33</v>
      </c>
      <c r="D13">
        <v>3587140000</v>
      </c>
      <c r="E13">
        <v>116099843</v>
      </c>
      <c r="F13">
        <v>416466390819</v>
      </c>
      <c r="G13">
        <v>74.006200000000007</v>
      </c>
      <c r="H13">
        <v>308210950122</v>
      </c>
      <c r="I13">
        <v>3.863585</v>
      </c>
      <c r="J13">
        <v>1.81</v>
      </c>
      <c r="K13">
        <f t="shared" si="0"/>
        <v>3.082109501223056E+17</v>
      </c>
      <c r="L13" s="2">
        <f t="shared" si="1"/>
        <v>4.4882503424067494E-2</v>
      </c>
    </row>
    <row r="14" spans="1:12" x14ac:dyDescent="0.25">
      <c r="A14" s="1">
        <v>45919</v>
      </c>
      <c r="B14" t="s">
        <v>34</v>
      </c>
      <c r="C14" t="s">
        <v>35</v>
      </c>
      <c r="D14">
        <v>199090000</v>
      </c>
      <c r="E14">
        <v>679680841</v>
      </c>
      <c r="F14">
        <v>135317658635</v>
      </c>
      <c r="G14">
        <v>78.934700000000007</v>
      </c>
      <c r="H14">
        <v>106812587890</v>
      </c>
      <c r="I14">
        <v>1.3389519999999999</v>
      </c>
      <c r="J14">
        <v>1.2</v>
      </c>
      <c r="K14">
        <f t="shared" si="0"/>
        <v>1.0681258789031666E+17</v>
      </c>
      <c r="L14" s="2">
        <f t="shared" si="1"/>
        <v>1.5554334911911031E-2</v>
      </c>
    </row>
    <row r="15" spans="1:12" x14ac:dyDescent="0.25">
      <c r="A15" s="1">
        <v>45919</v>
      </c>
      <c r="B15" t="s">
        <v>36</v>
      </c>
      <c r="C15" t="s">
        <v>37</v>
      </c>
      <c r="D15">
        <v>80990000</v>
      </c>
      <c r="E15">
        <v>5609488001</v>
      </c>
      <c r="F15">
        <v>454312433201</v>
      </c>
      <c r="G15">
        <v>90.684100000000001</v>
      </c>
      <c r="H15">
        <v>411989141236</v>
      </c>
      <c r="I15">
        <v>5.1644990000000002</v>
      </c>
      <c r="J15">
        <v>5.36</v>
      </c>
      <c r="K15">
        <f t="shared" si="0"/>
        <v>4.1198914123641894E+17</v>
      </c>
      <c r="L15" s="2">
        <f t="shared" si="1"/>
        <v>5.9994961356449147E-2</v>
      </c>
    </row>
    <row r="16" spans="1:12" x14ac:dyDescent="0.25">
      <c r="A16" s="1">
        <v>45919</v>
      </c>
      <c r="B16" t="s">
        <v>38</v>
      </c>
      <c r="C16" t="s">
        <v>39</v>
      </c>
      <c r="D16">
        <v>691330000</v>
      </c>
      <c r="E16">
        <v>895024247</v>
      </c>
      <c r="F16">
        <v>618757112679</v>
      </c>
      <c r="G16">
        <v>98.485900000000001</v>
      </c>
      <c r="H16">
        <v>609388511235</v>
      </c>
      <c r="I16">
        <v>7.6390039999999999</v>
      </c>
      <c r="J16">
        <v>2.0299999999999998</v>
      </c>
      <c r="K16">
        <f t="shared" si="0"/>
        <v>6.0938851123544461E+17</v>
      </c>
      <c r="L16" s="2">
        <f t="shared" si="1"/>
        <v>8.874078591710885E-2</v>
      </c>
    </row>
    <row r="17" spans="1:12" x14ac:dyDescent="0.25">
      <c r="A17" s="1">
        <v>45919</v>
      </c>
      <c r="B17" t="s">
        <v>40</v>
      </c>
      <c r="C17" t="s">
        <v>41</v>
      </c>
      <c r="D17">
        <v>14960000</v>
      </c>
      <c r="E17">
        <v>3430787066</v>
      </c>
      <c r="F17">
        <v>51324574507</v>
      </c>
      <c r="G17">
        <v>98.169700000000006</v>
      </c>
      <c r="H17">
        <v>50385180820</v>
      </c>
      <c r="I17">
        <v>0.63160499999999997</v>
      </c>
      <c r="J17">
        <v>7.97</v>
      </c>
      <c r="K17">
        <f t="shared" si="0"/>
        <v>5.03851808201518E+16</v>
      </c>
      <c r="L17" s="2">
        <f t="shared" si="1"/>
        <v>7.3372248772645464E-3</v>
      </c>
    </row>
    <row r="18" spans="1:12" x14ac:dyDescent="0.25">
      <c r="A18" s="1">
        <v>45919</v>
      </c>
      <c r="B18" t="s">
        <v>42</v>
      </c>
      <c r="C18" t="s">
        <v>43</v>
      </c>
      <c r="D18">
        <v>279220000</v>
      </c>
      <c r="E18">
        <v>634767724</v>
      </c>
      <c r="F18">
        <v>177239843895</v>
      </c>
      <c r="G18">
        <v>85.998699999999999</v>
      </c>
      <c r="H18">
        <v>152423961632</v>
      </c>
      <c r="I18">
        <v>1.910714</v>
      </c>
      <c r="J18">
        <v>1.1499999999999999</v>
      </c>
      <c r="K18">
        <f t="shared" si="0"/>
        <v>1.5242396163197018E+17</v>
      </c>
      <c r="L18" s="2">
        <f t="shared" si="1"/>
        <v>2.2196385226229281E-2</v>
      </c>
    </row>
    <row r="19" spans="1:12" x14ac:dyDescent="0.25">
      <c r="A19" s="1">
        <v>45919</v>
      </c>
      <c r="B19" t="s">
        <v>44</v>
      </c>
      <c r="C19" t="s">
        <v>45</v>
      </c>
      <c r="D19">
        <v>194300000</v>
      </c>
      <c r="E19">
        <v>904368485</v>
      </c>
      <c r="F19">
        <v>175718796636</v>
      </c>
      <c r="G19">
        <v>86.402100000000004</v>
      </c>
      <c r="H19">
        <v>151824730388</v>
      </c>
      <c r="I19">
        <v>1.9032020000000001</v>
      </c>
      <c r="J19">
        <v>0.85</v>
      </c>
      <c r="K19">
        <f t="shared" si="0"/>
        <v>1.5182473038780134E+17</v>
      </c>
      <c r="L19" s="2">
        <f t="shared" si="1"/>
        <v>2.210912356872638E-2</v>
      </c>
    </row>
    <row r="20" spans="1:12" x14ac:dyDescent="0.25">
      <c r="A20" s="1">
        <v>45919</v>
      </c>
      <c r="B20" t="s">
        <v>46</v>
      </c>
      <c r="C20" t="s">
        <v>47</v>
      </c>
      <c r="D20">
        <v>132330000</v>
      </c>
      <c r="E20">
        <v>295125806</v>
      </c>
      <c r="F20">
        <v>39053997908</v>
      </c>
      <c r="G20">
        <v>83.643799999999999</v>
      </c>
      <c r="H20">
        <v>32666247902</v>
      </c>
      <c r="I20">
        <v>0.40948899999999999</v>
      </c>
      <c r="J20">
        <v>6.53</v>
      </c>
      <c r="K20">
        <f t="shared" si="0"/>
        <v>3.2666247902154976E+16</v>
      </c>
      <c r="L20" s="2">
        <f t="shared" si="1"/>
        <v>4.7569464444339408E-3</v>
      </c>
    </row>
    <row r="21" spans="1:12" x14ac:dyDescent="0.25">
      <c r="A21" s="1">
        <v>45919</v>
      </c>
      <c r="B21" t="s">
        <v>48</v>
      </c>
      <c r="C21" t="s">
        <v>49</v>
      </c>
      <c r="D21">
        <v>133810000</v>
      </c>
      <c r="E21">
        <v>696082618</v>
      </c>
      <c r="F21">
        <v>93142815115</v>
      </c>
      <c r="G21">
        <v>52.559100000000001</v>
      </c>
      <c r="H21">
        <v>48955025339</v>
      </c>
      <c r="I21">
        <v>0.61367700000000003</v>
      </c>
      <c r="J21">
        <v>6.46</v>
      </c>
      <c r="K21">
        <f t="shared" si="0"/>
        <v>4.8955025338887216E+16</v>
      </c>
      <c r="L21" s="2">
        <f t="shared" si="1"/>
        <v>7.1289618085470501E-3</v>
      </c>
    </row>
    <row r="22" spans="1:12" x14ac:dyDescent="0.25">
      <c r="A22" s="1">
        <v>45919</v>
      </c>
      <c r="B22" t="s">
        <v>50</v>
      </c>
      <c r="C22" t="s">
        <v>51</v>
      </c>
      <c r="D22">
        <v>234000000</v>
      </c>
      <c r="E22">
        <v>441412530</v>
      </c>
      <c r="F22">
        <v>103290532020</v>
      </c>
      <c r="G22">
        <v>42.539200000000001</v>
      </c>
      <c r="H22">
        <v>43938965997</v>
      </c>
      <c r="I22">
        <v>0.55079800000000001</v>
      </c>
      <c r="J22">
        <v>5.91</v>
      </c>
      <c r="K22">
        <f t="shared" si="0"/>
        <v>4.393896599705184E+16</v>
      </c>
      <c r="L22" s="2">
        <f t="shared" si="1"/>
        <v>6.3985098226720721E-3</v>
      </c>
    </row>
    <row r="23" spans="1:12" x14ac:dyDescent="0.25">
      <c r="A23" s="1">
        <v>45919</v>
      </c>
      <c r="B23" t="s">
        <v>52</v>
      </c>
      <c r="C23" t="s">
        <v>53</v>
      </c>
      <c r="D23">
        <v>214770000</v>
      </c>
      <c r="E23">
        <v>259792408</v>
      </c>
      <c r="F23">
        <v>55795615466</v>
      </c>
      <c r="G23">
        <v>97.082800000000006</v>
      </c>
      <c r="H23">
        <v>54167945772</v>
      </c>
      <c r="I23">
        <v>0.67902399999999996</v>
      </c>
      <c r="J23">
        <v>4.18</v>
      </c>
      <c r="K23">
        <f t="shared" si="0"/>
        <v>5.4167945771781184E+16</v>
      </c>
      <c r="L23" s="2">
        <f t="shared" si="1"/>
        <v>7.8880812333627821E-3</v>
      </c>
    </row>
    <row r="24" spans="1:12" x14ac:dyDescent="0.25">
      <c r="A24" s="1">
        <v>45919</v>
      </c>
      <c r="B24" t="s">
        <v>54</v>
      </c>
      <c r="C24" t="s">
        <v>55</v>
      </c>
      <c r="D24">
        <v>138000000</v>
      </c>
      <c r="E24">
        <v>1884269758</v>
      </c>
      <c r="F24">
        <v>260029226604</v>
      </c>
      <c r="G24">
        <v>95.807000000000002</v>
      </c>
      <c r="H24">
        <v>249126201132</v>
      </c>
      <c r="I24">
        <v>3.1229269999999998</v>
      </c>
      <c r="J24">
        <v>2.5</v>
      </c>
      <c r="K24">
        <f t="shared" si="0"/>
        <v>2.4912620113249427E+17</v>
      </c>
      <c r="L24" s="2">
        <f t="shared" si="1"/>
        <v>3.6278424147218151E-2</v>
      </c>
    </row>
    <row r="25" spans="1:12" x14ac:dyDescent="0.25">
      <c r="A25" s="1">
        <v>45919</v>
      </c>
      <c r="B25" t="s">
        <v>56</v>
      </c>
      <c r="C25" t="s">
        <v>57</v>
      </c>
      <c r="D25">
        <v>214260000</v>
      </c>
      <c r="E25">
        <v>487813795</v>
      </c>
      <c r="F25">
        <v>104518983717</v>
      </c>
      <c r="G25">
        <v>93.24</v>
      </c>
      <c r="H25">
        <v>97453500417</v>
      </c>
      <c r="I25">
        <v>1.2216309999999999</v>
      </c>
      <c r="J25">
        <v>9.9499999999999993</v>
      </c>
      <c r="K25">
        <f t="shared" si="0"/>
        <v>9.7453500417451072E+16</v>
      </c>
      <c r="L25" s="2">
        <f t="shared" si="1"/>
        <v>1.4191439546316955E-2</v>
      </c>
    </row>
    <row r="26" spans="1:12" x14ac:dyDescent="0.25">
      <c r="A26" s="1">
        <v>45919</v>
      </c>
      <c r="B26" t="s">
        <v>58</v>
      </c>
      <c r="C26" t="s">
        <v>59</v>
      </c>
      <c r="D26">
        <v>238350000</v>
      </c>
      <c r="E26">
        <v>396238229</v>
      </c>
      <c r="F26">
        <v>94443381882</v>
      </c>
      <c r="G26">
        <v>89.061999999999998</v>
      </c>
      <c r="H26">
        <v>84113164772</v>
      </c>
      <c r="I26">
        <v>1.054403</v>
      </c>
      <c r="J26">
        <v>0.9</v>
      </c>
      <c r="K26">
        <f t="shared" si="0"/>
        <v>8.4113164771880432E+16</v>
      </c>
      <c r="L26" s="2">
        <f t="shared" si="1"/>
        <v>1.2248784166769486E-2</v>
      </c>
    </row>
    <row r="27" spans="1:12" x14ac:dyDescent="0.25">
      <c r="A27" s="1">
        <v>45919</v>
      </c>
      <c r="B27" t="s">
        <v>60</v>
      </c>
      <c r="C27" t="s">
        <v>61</v>
      </c>
      <c r="D27">
        <v>6070000000</v>
      </c>
      <c r="E27">
        <v>164431276</v>
      </c>
      <c r="F27">
        <v>998097845320</v>
      </c>
      <c r="G27">
        <v>96.150899999999993</v>
      </c>
      <c r="H27">
        <v>959680061156</v>
      </c>
      <c r="I27">
        <v>12.030092</v>
      </c>
      <c r="J27">
        <v>0.2</v>
      </c>
      <c r="K27">
        <f t="shared" si="0"/>
        <v>9.5968006115578778E+17</v>
      </c>
      <c r="L27" s="2">
        <f t="shared" si="1"/>
        <v>0.13975117890438868</v>
      </c>
    </row>
    <row r="28" spans="1:12" x14ac:dyDescent="0.25">
      <c r="A28" s="1">
        <v>45919</v>
      </c>
      <c r="B28" t="s">
        <v>62</v>
      </c>
      <c r="C28" t="s">
        <v>63</v>
      </c>
      <c r="D28">
        <v>140370000</v>
      </c>
      <c r="E28">
        <v>712357309</v>
      </c>
      <c r="F28">
        <v>99993595464</v>
      </c>
      <c r="G28">
        <v>82.995500000000007</v>
      </c>
      <c r="H28">
        <v>82990184524</v>
      </c>
      <c r="I28">
        <v>1.0403249999999999</v>
      </c>
      <c r="J28">
        <v>0</v>
      </c>
      <c r="K28">
        <f t="shared" si="0"/>
        <v>8.2990184523598016E+16</v>
      </c>
      <c r="L28" s="2">
        <f t="shared" si="1"/>
        <v>1.2085252777574213E-2</v>
      </c>
    </row>
    <row r="29" spans="1:12" x14ac:dyDescent="0.25">
      <c r="A29" s="1">
        <v>45919</v>
      </c>
      <c r="B29" t="s">
        <v>64</v>
      </c>
      <c r="C29" t="s">
        <v>65</v>
      </c>
      <c r="D29">
        <v>13660000</v>
      </c>
      <c r="E29">
        <v>4712897403</v>
      </c>
      <c r="F29">
        <v>64378178525</v>
      </c>
      <c r="G29">
        <v>87.195400000000006</v>
      </c>
      <c r="H29">
        <v>56134810278</v>
      </c>
      <c r="I29">
        <v>0.70367900000000005</v>
      </c>
      <c r="J29">
        <v>6.3</v>
      </c>
      <c r="K29">
        <f t="shared" si="0"/>
        <v>5.6134810277570416E+16</v>
      </c>
      <c r="L29" s="2">
        <f t="shared" si="1"/>
        <v>8.1745013066299096E-3</v>
      </c>
    </row>
    <row r="30" spans="1:12" x14ac:dyDescent="0.25">
      <c r="A30" s="1">
        <v>45919</v>
      </c>
      <c r="B30" t="s">
        <v>66</v>
      </c>
      <c r="C30" t="s">
        <v>67</v>
      </c>
      <c r="D30">
        <v>79290000</v>
      </c>
      <c r="E30">
        <v>1546402028</v>
      </c>
      <c r="F30">
        <v>122614216800</v>
      </c>
      <c r="G30">
        <v>55.2</v>
      </c>
      <c r="H30">
        <v>67683047674</v>
      </c>
      <c r="I30">
        <v>0.84844200000000003</v>
      </c>
      <c r="J30">
        <v>2.5499999999999998</v>
      </c>
      <c r="K30">
        <f t="shared" si="0"/>
        <v>6.768304767366624E+16</v>
      </c>
      <c r="L30" s="2">
        <f t="shared" si="1"/>
        <v>9.856186542882988E-3</v>
      </c>
    </row>
    <row r="31" spans="1:12" x14ac:dyDescent="0.25">
      <c r="A31" s="1">
        <v>45919</v>
      </c>
      <c r="B31" t="s">
        <v>68</v>
      </c>
      <c r="C31" t="s">
        <v>69</v>
      </c>
      <c r="D31">
        <v>25800000</v>
      </c>
      <c r="E31">
        <v>3692933024</v>
      </c>
      <c r="F31">
        <v>95277672019</v>
      </c>
      <c r="G31">
        <v>99.818200000000004</v>
      </c>
      <c r="H31">
        <v>95104421523</v>
      </c>
      <c r="I31">
        <v>1.1921839999999999</v>
      </c>
      <c r="J31">
        <v>1.88</v>
      </c>
      <c r="K31">
        <f t="shared" si="0"/>
        <v>9.5104457211469104E+16</v>
      </c>
      <c r="L31" s="2">
        <f t="shared" si="1"/>
        <v>1.3849365587900064E-2</v>
      </c>
    </row>
    <row r="32" spans="1:12" x14ac:dyDescent="0.25">
      <c r="A32" s="1">
        <v>45919</v>
      </c>
      <c r="B32" t="s">
        <v>70</v>
      </c>
      <c r="C32" t="s">
        <v>71</v>
      </c>
      <c r="D32">
        <v>1159000000</v>
      </c>
      <c r="E32">
        <v>2378947836</v>
      </c>
      <c r="F32">
        <v>2757200541924</v>
      </c>
      <c r="G32">
        <v>11.8154</v>
      </c>
      <c r="H32">
        <v>325774272830</v>
      </c>
      <c r="I32">
        <v>4.0837510000000004</v>
      </c>
      <c r="J32">
        <v>0</v>
      </c>
      <c r="K32">
        <f t="shared" si="0"/>
        <v>3.2577427283048832E+17</v>
      </c>
      <c r="L32" s="2">
        <f t="shared" si="1"/>
        <v>4.7440121481684208E-2</v>
      </c>
    </row>
    <row r="33" spans="1:13" x14ac:dyDescent="0.25">
      <c r="A33" s="1">
        <v>45919</v>
      </c>
      <c r="B33" t="s">
        <v>72</v>
      </c>
      <c r="C33" t="s">
        <v>73</v>
      </c>
      <c r="D33">
        <v>176260000</v>
      </c>
      <c r="E33">
        <v>529217007</v>
      </c>
      <c r="F33">
        <v>93279789654</v>
      </c>
      <c r="G33">
        <v>94.077399999999997</v>
      </c>
      <c r="H33">
        <v>87755200832</v>
      </c>
      <c r="I33">
        <v>1.1000570000000001</v>
      </c>
      <c r="J33">
        <v>1.59</v>
      </c>
      <c r="K33">
        <f t="shared" si="0"/>
        <v>8.7755200831782848E+16</v>
      </c>
      <c r="L33" s="2">
        <f t="shared" si="1"/>
        <v>1.2779147205020661E-2</v>
      </c>
    </row>
    <row r="34" spans="1:13" x14ac:dyDescent="0.25">
      <c r="A34" s="1">
        <v>45919</v>
      </c>
      <c r="B34" t="s">
        <v>74</v>
      </c>
      <c r="C34" t="s">
        <v>75</v>
      </c>
      <c r="D34">
        <v>522590000</v>
      </c>
      <c r="E34">
        <v>195941286</v>
      </c>
      <c r="F34">
        <v>102396956651</v>
      </c>
      <c r="G34">
        <v>67.847200000000001</v>
      </c>
      <c r="H34">
        <v>69473467973</v>
      </c>
      <c r="I34">
        <v>0.87088600000000005</v>
      </c>
      <c r="J34">
        <v>1.46</v>
      </c>
      <c r="K34">
        <f t="shared" si="0"/>
        <v>6.9473467972740872E+16</v>
      </c>
      <c r="L34" s="2">
        <f t="shared" si="1"/>
        <v>1.0116912338549394E-2</v>
      </c>
    </row>
    <row r="35" spans="1:13" x14ac:dyDescent="0.25">
      <c r="A35" s="1">
        <v>45919</v>
      </c>
      <c r="B35" t="s">
        <v>76</v>
      </c>
      <c r="C35" t="s">
        <v>77</v>
      </c>
      <c r="D35">
        <v>244060000</v>
      </c>
      <c r="E35">
        <v>1646211851</v>
      </c>
      <c r="F35">
        <v>401774464355</v>
      </c>
      <c r="G35">
        <v>79.684399999999997</v>
      </c>
      <c r="H35">
        <v>320151571275</v>
      </c>
      <c r="I35">
        <v>4.0132669999999999</v>
      </c>
      <c r="J35">
        <v>6.47</v>
      </c>
      <c r="K35">
        <f t="shared" si="0"/>
        <v>3.2015157127454336E+17</v>
      </c>
      <c r="L35" s="2">
        <f t="shared" si="1"/>
        <v>4.6621328633029521E-2</v>
      </c>
    </row>
    <row r="36" spans="1:13" x14ac:dyDescent="0.25">
      <c r="A36" s="1">
        <v>45919</v>
      </c>
      <c r="B36" t="s">
        <v>78</v>
      </c>
      <c r="C36" t="s">
        <v>79</v>
      </c>
      <c r="D36">
        <v>285350000</v>
      </c>
      <c r="E36">
        <v>591338502</v>
      </c>
      <c r="F36">
        <v>168738441546</v>
      </c>
      <c r="G36">
        <v>79.747200000000007</v>
      </c>
      <c r="H36">
        <v>134564182456</v>
      </c>
      <c r="I36">
        <v>1.6868320000000001</v>
      </c>
      <c r="J36">
        <v>2.56</v>
      </c>
      <c r="K36">
        <f t="shared" si="0"/>
        <v>1.3456418245633248E+17</v>
      </c>
      <c r="L36" s="2">
        <f t="shared" si="1"/>
        <v>1.9595596384413123E-2</v>
      </c>
    </row>
    <row r="37" spans="1:13" x14ac:dyDescent="0.25">
      <c r="A37" s="1">
        <v>45919</v>
      </c>
      <c r="B37" t="s">
        <v>80</v>
      </c>
      <c r="C37" t="s">
        <v>81</v>
      </c>
      <c r="D37">
        <v>86100000</v>
      </c>
      <c r="E37">
        <v>2117153949</v>
      </c>
      <c r="F37">
        <v>182286955009</v>
      </c>
      <c r="G37">
        <v>82.74</v>
      </c>
      <c r="H37">
        <v>150824226574</v>
      </c>
      <c r="I37">
        <v>1.8906609999999999</v>
      </c>
      <c r="J37">
        <v>5.17</v>
      </c>
      <c r="K37">
        <f t="shared" si="0"/>
        <v>1.5082422657436384E+17</v>
      </c>
      <c r="L37" s="2">
        <f t="shared" si="1"/>
        <v>2.1963427525757816E-2</v>
      </c>
    </row>
    <row r="38" spans="1:13" x14ac:dyDescent="0.25">
      <c r="A38" s="1">
        <v>45919</v>
      </c>
      <c r="B38" t="s">
        <v>82</v>
      </c>
      <c r="C38" t="s">
        <v>83</v>
      </c>
      <c r="D38">
        <v>117160000</v>
      </c>
      <c r="E38">
        <v>643043757</v>
      </c>
      <c r="F38">
        <v>75339006570</v>
      </c>
      <c r="G38">
        <v>91.076800000000006</v>
      </c>
      <c r="H38">
        <v>68616356336</v>
      </c>
      <c r="I38">
        <v>0.86014199999999996</v>
      </c>
      <c r="J38">
        <v>0</v>
      </c>
      <c r="K38">
        <f t="shared" si="0"/>
        <v>6.8616356335855056E+16</v>
      </c>
      <c r="L38" s="2">
        <f t="shared" si="1"/>
        <v>9.9920974480918346E-3</v>
      </c>
    </row>
    <row r="39" spans="1:13" x14ac:dyDescent="0.25">
      <c r="A39" s="1">
        <v>45919</v>
      </c>
      <c r="B39" t="s">
        <v>84</v>
      </c>
      <c r="C39" t="s">
        <v>85</v>
      </c>
      <c r="D39">
        <v>40670000</v>
      </c>
      <c r="E39">
        <v>2830567264</v>
      </c>
      <c r="F39">
        <v>115119170627</v>
      </c>
      <c r="G39">
        <v>99.09</v>
      </c>
      <c r="H39">
        <v>114071586174</v>
      </c>
      <c r="I39">
        <v>1.4299470000000001</v>
      </c>
      <c r="J39">
        <v>0</v>
      </c>
      <c r="K39">
        <f t="shared" si="0"/>
        <v>1.1407158617417539E+17</v>
      </c>
      <c r="L39" s="2">
        <f t="shared" si="1"/>
        <v>1.6611409669317616E-2</v>
      </c>
    </row>
    <row r="40" spans="1:13" x14ac:dyDescent="0.25">
      <c r="A40" s="1">
        <v>45919</v>
      </c>
      <c r="B40" t="s">
        <v>86</v>
      </c>
      <c r="C40" t="s">
        <v>87</v>
      </c>
      <c r="D40">
        <v>1041120000</v>
      </c>
      <c r="E40">
        <v>265292206</v>
      </c>
      <c r="F40">
        <v>276201021511</v>
      </c>
      <c r="G40">
        <v>67.373400000000004</v>
      </c>
      <c r="H40">
        <v>186086064893</v>
      </c>
      <c r="I40">
        <v>2.3326859999999998</v>
      </c>
      <c r="J40">
        <v>0.48</v>
      </c>
      <c r="K40">
        <f t="shared" si="0"/>
        <v>1.8608601902650342E+17</v>
      </c>
      <c r="L40" s="2">
        <f t="shared" si="1"/>
        <v>2.7098344114035694E-2</v>
      </c>
    </row>
    <row r="41" spans="1:13" x14ac:dyDescent="0.25">
      <c r="A41" s="1">
        <v>45919</v>
      </c>
      <c r="B41" t="s">
        <v>88</v>
      </c>
      <c r="C41" t="s">
        <v>89</v>
      </c>
      <c r="D41">
        <v>132740000</v>
      </c>
      <c r="E41">
        <v>2077841204</v>
      </c>
      <c r="F41">
        <v>275812641419</v>
      </c>
      <c r="G41">
        <v>28.652899999999999</v>
      </c>
      <c r="H41">
        <v>79028320333</v>
      </c>
      <c r="I41">
        <v>0.99066100000000001</v>
      </c>
      <c r="J41">
        <v>4.67</v>
      </c>
      <c r="K41">
        <f t="shared" si="0"/>
        <v>7.9028320333133184E+16</v>
      </c>
      <c r="L41" s="2">
        <f t="shared" si="1"/>
        <v>1.1508315510992136E-2</v>
      </c>
    </row>
    <row r="42" spans="1:13" x14ac:dyDescent="0.25">
      <c r="A42" s="1">
        <v>45919</v>
      </c>
      <c r="B42" t="s">
        <v>90</v>
      </c>
      <c r="C42" t="s">
        <v>91</v>
      </c>
      <c r="D42">
        <v>54170000</v>
      </c>
      <c r="E42">
        <v>988695949</v>
      </c>
      <c r="F42">
        <v>53557659557</v>
      </c>
      <c r="G42">
        <v>90.894599999999997</v>
      </c>
      <c r="H42">
        <v>48681020424</v>
      </c>
      <c r="I42">
        <v>0.61024199999999995</v>
      </c>
      <c r="J42">
        <v>4.1399999999999997</v>
      </c>
      <c r="K42">
        <f t="shared" si="0"/>
        <v>4.868102042399688E+16</v>
      </c>
      <c r="L42" s="2">
        <f t="shared" si="1"/>
        <v>7.0890604795193282E-3</v>
      </c>
    </row>
    <row r="43" spans="1:13" x14ac:dyDescent="0.25">
      <c r="M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Lwando Mbanguta</dc:creator>
  <cp:lastModifiedBy>Lwando Mbanguta</cp:lastModifiedBy>
  <dcterms:created xsi:type="dcterms:W3CDTF">2025-09-26T08:11:34Z</dcterms:created>
  <dcterms:modified xsi:type="dcterms:W3CDTF">2025-09-26T08:51:41Z</dcterms:modified>
</cp:coreProperties>
</file>